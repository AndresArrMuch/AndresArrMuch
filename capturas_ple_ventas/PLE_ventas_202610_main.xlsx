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E Ventas" sheetId="1" r:id="rId1"/>
  </sheets>
  <definedNames>
    <definedName name="_xlnm._FilterDatabase" localSheetId="0">'PLE Ventas'!A6:BE23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3"/>
  <sheetViews>
    <sheetView workbookViewId="0"/>
  </sheetViews>
  <cols>
    <col min="1" max="1" width="6.83203125" customWidth="1"/>
    <col min="2" max="2" width="13.83203125" customWidth="1"/>
    <col min="3" max="3" width="28.83203125" customWidth="1"/>
    <col min="4" max="4" width="8.83203125" customWidth="1"/>
    <col min="5" max="5" width="34.83203125" customWidth="1"/>
    <col min="6" max="6" width="14.83203125" customWidth="1"/>
    <col min="7" max="7" width="14.83203125" customWidth="1"/>
    <col min="8" max="8" width="6.83203125" customWidth="1"/>
    <col min="9" max="9" width="8.83203125" customWidth="1"/>
    <col min="10" max="10" width="14.83203125" customWidth="1"/>
    <col min="11" max="11" width="12.83203125" customWidth="1"/>
    <col min="12" max="12" width="8.83203125" customWidth="1"/>
    <col min="13" max="13" width="14.83203125" customWidth="1"/>
    <col min="14" max="14" width="30.83203125" customWidth="1"/>
    <col min="15" max="15" width="8.83203125" customWidth="1"/>
    <col min="16" max="16" width="12.83203125" customWidth="1"/>
    <col min="17" max="17" width="0.83203125" customWidth="1" hidden="true"/>
    <col min="18" max="18" width="12.83203125" customWidth="1"/>
    <col min="19" max="19" width="0.83203125" customWidth="1" hidden="true"/>
    <col min="20" max="20" width="0.83203125" customWidth="1" hidden="true"/>
    <col min="21" max="21" width="0.83203125" customWidth="1" hidden="true"/>
    <col min="22" max="22" width="0.83203125" customWidth="1" hidden="true"/>
    <col min="23" max="23" width="0.83203125" customWidth="1" hidden="true"/>
    <col min="24" max="24" width="0.83203125" customWidth="1" hidden="true"/>
    <col min="25" max="25" width="0.83203125" customWidth="1" hidden="true"/>
    <col min="26" max="26" width="0.83203125" customWidth="1" hidden="true"/>
    <col min="27" max="27" width="12.83203125" customWidth="1"/>
    <col min="28" max="28" width="8.83203125" customWidth="1"/>
    <col min="29" max="29" width="10.83203125" customWidth="1"/>
    <col min="30" max="30" width="14.83203125" customWidth="1"/>
    <col min="31" max="31" width="10.83203125" customWidth="1"/>
    <col min="32" max="32" width="10.83203125" customWidth="1"/>
    <col min="33" max="33" width="12.83203125" customWidth="1"/>
    <col min="34" max="34" width="14.83203125" customWidth="1"/>
    <col min="35" max="35" width="10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6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6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</cols>
  <sheetData>
    <row r="1" ht="20" customHeight="1">
      <c r="A1" t="str">
        <v>REGISTRO DE VENTAS SIMPLIFICADO</v>
      </c>
    </row>
    <row r="2" ht="18" customHeight="1">
      <c r="A2" t="str">
        <v>RUC</v>
      </c>
      <c r="B2" t="str">
        <v>20000000009</v>
      </c>
    </row>
    <row r="3" ht="18" customHeight="1">
      <c r="A3" t="str">
        <v>PERIODO</v>
      </c>
      <c r="B3" t="str">
        <v>202610</v>
      </c>
    </row>
    <row r="4" ht="20" customHeight="1">
      <c r="P4" t="str">
        <v>Base DOG</v>
      </c>
      <c r="R4" t="str">
        <v>IGV DOG</v>
      </c>
      <c r="AA4" t="str">
        <v>Total CP</v>
      </c>
    </row>
    <row r="5" ht="20" customHeight="1">
      <c r="P5">
        <f>SUBTOTAL(9,P8:P21)</f>
      </c>
      <c r="R5">
        <f>SUBTOTAL(9,R8:R21)</f>
      </c>
      <c r="AA5">
        <f>SUBTOTAL(9,AA8:AA21)</f>
      </c>
    </row>
    <row r="6" ht="56" customHeight="1">
      <c r="A6" t="str">
        <v>Obs2</v>
      </c>
      <c r="B6" t="str">
        <v>RUC</v>
      </c>
      <c r="C6" t="str">
        <v>ID</v>
      </c>
      <c r="D6" t="str">
        <v>Periodo</v>
      </c>
      <c r="E6" t="str">
        <v>CAR SUNAT</v>
      </c>
      <c r="F6" t="str">
        <v>Fecha de emisión</v>
      </c>
      <c r="G6" t="str">
        <v>Fecha Vcto/Pago</v>
      </c>
      <c r="H6" t="str">
        <v>Tipo CP/Doc.</v>
      </c>
      <c r="I6" t="str">
        <v>Serie del CDP</v>
      </c>
      <c r="J6" t="str">
        <v>Nro CP o Doc. Nro Inicial (Rango)</v>
      </c>
      <c r="K6" t="str">
        <v>Nro Final (Rango)</v>
      </c>
      <c r="L6" t="str">
        <v>Tipo Doc Identidad</v>
      </c>
      <c r="M6" t="str">
        <v>Nro Doc Identidad</v>
      </c>
      <c r="N6" t="str">
        <v>Apellidos Nombres/ Razón Social</v>
      </c>
      <c r="O6" t="str">
        <v>Valor Facturado Exportación</v>
      </c>
      <c r="P6" t="str">
        <v>BI Gravada</v>
      </c>
      <c r="Q6" t="str">
        <v>BI No Gravada</v>
      </c>
      <c r="R6" t="str">
        <v>IGV / IPM</v>
      </c>
      <c r="S6" t="str">
        <v>S</v>
      </c>
      <c r="T6" t="str">
        <v>T</v>
      </c>
      <c r="U6" t="str">
        <v>U</v>
      </c>
      <c r="V6" t="str">
        <v>V</v>
      </c>
      <c r="W6" t="str">
        <v>W</v>
      </c>
      <c r="X6" t="str">
        <v>X</v>
      </c>
      <c r="Y6" t="str">
        <v>Y</v>
      </c>
      <c r="Z6" t="str">
        <v>Z</v>
      </c>
      <c r="AA6" t="str">
        <v>Total CP</v>
      </c>
      <c r="AB6" t="str">
        <v>Moneda</v>
      </c>
      <c r="AC6" t="str">
        <v>Tipo Cambio</v>
      </c>
      <c r="AD6" t="str">
        <v>Fecha Emisión Doc Modificado</v>
      </c>
      <c r="AE6" t="str">
        <v>Tipo CP Modificado</v>
      </c>
      <c r="AF6" t="str">
        <v>Serie CP Modificado</v>
      </c>
      <c r="AG6" t="str">
        <v>Nro CP Modificado</v>
      </c>
      <c r="AH6" t="str">
        <v>ID Proyecto Operadores Atribución</v>
      </c>
      <c r="AI6" t="str">
        <v>Libres 29</v>
      </c>
      <c r="AJ6" t="str">
        <v>30</v>
      </c>
      <c r="AK6" t="str">
        <v>31</v>
      </c>
      <c r="AL6" t="str">
        <v>32</v>
      </c>
      <c r="AM6" t="str">
        <v>33</v>
      </c>
      <c r="AN6" t="str">
        <v>34</v>
      </c>
      <c r="AO6" t="str">
        <v>35</v>
      </c>
      <c r="AP6" t="str">
        <v>36</v>
      </c>
      <c r="AQ6" t="str">
        <v>37</v>
      </c>
      <c r="AR6" t="str">
        <v>38</v>
      </c>
      <c r="AS6" t="str">
        <v>39</v>
      </c>
      <c r="AT6" t="str">
        <v>40</v>
      </c>
      <c r="AU6" t="str">
        <v>41</v>
      </c>
      <c r="AV6" t="str">
        <v>43</v>
      </c>
      <c r="AW6" t="str">
        <v>44</v>
      </c>
      <c r="AX6" t="str">
        <v>45</v>
      </c>
      <c r="AY6" t="str">
        <v>46</v>
      </c>
      <c r="AZ6" t="str">
        <v>47</v>
      </c>
      <c r="BA6" t="str">
        <v>48</v>
      </c>
      <c r="BB6" t="str">
        <v>49</v>
      </c>
      <c r="BC6" t="str">
        <v>50</v>
      </c>
      <c r="BD6" t="str">
        <v>51</v>
      </c>
      <c r="BE6" t="str">
        <v>52</v>
      </c>
    </row>
    <row r="7" ht="18" customHeight="1">
      <c r="A7" t="str">
        <v>Campo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22</v>
      </c>
      <c r="W7">
        <v>23</v>
      </c>
      <c r="X7">
        <v>24</v>
      </c>
      <c r="Y7">
        <v>25</v>
      </c>
      <c r="Z7">
        <v>26</v>
      </c>
      <c r="AA7">
        <v>27</v>
      </c>
      <c r="AB7">
        <v>28</v>
      </c>
      <c r="AC7">
        <v>29</v>
      </c>
      <c r="AD7">
        <v>30</v>
      </c>
      <c r="AE7">
        <v>31</v>
      </c>
      <c r="AF7">
        <v>32</v>
      </c>
      <c r="AG7">
        <v>33</v>
      </c>
      <c r="AH7">
        <v>34</v>
      </c>
      <c r="AI7">
        <v>35</v>
      </c>
      <c r="AJ7">
        <v>36</v>
      </c>
      <c r="AK7">
        <v>37</v>
      </c>
      <c r="AL7">
        <v>38</v>
      </c>
      <c r="AM7">
        <v>39</v>
      </c>
      <c r="AN7">
        <v>40</v>
      </c>
      <c r="AO7">
        <v>41</v>
      </c>
      <c r="AP7">
        <v>42</v>
      </c>
      <c r="AQ7">
        <v>43</v>
      </c>
      <c r="AR7">
        <v>44</v>
      </c>
      <c r="AS7">
        <v>45</v>
      </c>
      <c r="AT7">
        <v>46</v>
      </c>
      <c r="AU7">
        <v>47</v>
      </c>
      <c r="AV7">
        <v>48</v>
      </c>
      <c r="AW7">
        <v>49</v>
      </c>
      <c r="AX7">
        <v>50</v>
      </c>
      <c r="AY7">
        <v>51</v>
      </c>
      <c r="AZ7">
        <v>52</v>
      </c>
      <c r="BA7">
        <v>53</v>
      </c>
      <c r="BB7">
        <v>54</v>
      </c>
      <c r="BC7">
        <v>55</v>
      </c>
      <c r="BD7">
        <v>56</v>
      </c>
      <c r="BE7">
        <v>57</v>
      </c>
    </row>
    <row r="8">
      <c r="A8">
        <v>1</v>
      </c>
      <c r="B8" t="str">
        <v>20000000009</v>
      </c>
      <c r="C8" t="str">
        <v>FIKA PRUEBA SAC</v>
      </c>
      <c r="D8" t="str">
        <v>202610</v>
      </c>
      <c r="E8">
        <f>"20000000009"&amp;TEXT(H8,"00")&amp;TEXT(I8,"0000")&amp;TEXT(J8,"0000000000")</f>
      </c>
      <c r="F8" t="str">
        <v>2026-10-01</v>
      </c>
      <c r="G8" t="str">
        <v/>
      </c>
      <c r="H8" t="str">
        <v>01</v>
      </c>
      <c r="I8" t="str">
        <v>F001</v>
      </c>
      <c r="J8">
        <v>1</v>
      </c>
      <c r="K8" t="str">
        <v/>
      </c>
      <c r="L8" t="str">
        <v>6</v>
      </c>
      <c r="M8" t="str">
        <v>20100047218</v>
      </c>
      <c r="N8" t="str">
        <v>CLIENTE PRUEBA SAC</v>
      </c>
      <c r="O8">
        <v>0</v>
      </c>
      <c r="P8">
        <v>1000</v>
      </c>
      <c r="Q8">
        <v>0</v>
      </c>
      <c r="R8">
        <v>180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1180</v>
      </c>
      <c r="AB8" t="str">
        <v>PEN</v>
      </c>
      <c r="AC8">
        <v>1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1</v>
      </c>
      <c r="AK8">
        <v>0</v>
      </c>
      <c r="AL8">
        <v>0</v>
      </c>
      <c r="AM8">
        <v>101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</row>
    <row r="9">
      <c r="A9">
        <v>2</v>
      </c>
      <c r="B9" t="str">
        <v>20000000009</v>
      </c>
      <c r="C9" t="str">
        <v>FIKA PRUEBA SAC</v>
      </c>
      <c r="D9" t="str">
        <v>202610</v>
      </c>
      <c r="E9">
        <f>"20000000009"&amp;TEXT(H9,"00")&amp;TEXT(I9,"0000")&amp;TEXT(J9,"0000000000")</f>
      </c>
      <c r="F9" t="str">
        <v>2026-10-02</v>
      </c>
      <c r="G9" t="str">
        <v/>
      </c>
      <c r="H9" t="str">
        <v>03</v>
      </c>
      <c r="I9" t="str">
        <v>B001</v>
      </c>
      <c r="J9">
        <v>1</v>
      </c>
      <c r="K9" t="str">
        <v/>
      </c>
      <c r="L9" t="str">
        <v>6</v>
      </c>
      <c r="M9" t="str">
        <v>20100047218</v>
      </c>
      <c r="N9" t="str">
        <v>CLIENTE PRUEBA SAC</v>
      </c>
      <c r="O9">
        <v>0</v>
      </c>
      <c r="P9">
        <v>100</v>
      </c>
      <c r="Q9">
        <v>0</v>
      </c>
      <c r="R9">
        <v>18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118</v>
      </c>
      <c r="AB9" t="str">
        <v>PEN</v>
      </c>
      <c r="AC9">
        <v>1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1</v>
      </c>
      <c r="AK9">
        <v>0</v>
      </c>
      <c r="AL9">
        <v>0</v>
      </c>
      <c r="AM9">
        <v>101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</row>
    <row r="10">
      <c r="A10">
        <v>3</v>
      </c>
      <c r="B10" t="str">
        <v>20000000009</v>
      </c>
      <c r="C10" t="str">
        <v>FIKA PRUEBA SAC</v>
      </c>
      <c r="D10" t="str">
        <v>202610</v>
      </c>
      <c r="E10">
        <f>"20000000009"&amp;TEXT(H10,"00")&amp;TEXT(I10,"0000")&amp;TEXT(J10,"0000000000")</f>
      </c>
      <c r="F10" t="str">
        <v>2026-10-02</v>
      </c>
      <c r="G10" t="str">
        <v/>
      </c>
      <c r="H10" t="str">
        <v>01</v>
      </c>
      <c r="I10" t="str">
        <v>F001</v>
      </c>
      <c r="J10">
        <v>5</v>
      </c>
      <c r="K10" t="str">
        <v/>
      </c>
      <c r="L10" t="str">
        <v>6</v>
      </c>
      <c r="M10" t="str">
        <v>20100047218</v>
      </c>
      <c r="N10" t="str">
        <v>CLIENTE PRUEBA SAC</v>
      </c>
      <c r="O10">
        <v>0</v>
      </c>
      <c r="P10">
        <v>400</v>
      </c>
      <c r="Q10">
        <v>0</v>
      </c>
      <c r="R10">
        <v>72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472</v>
      </c>
      <c r="AB10" t="str">
        <v>PEN</v>
      </c>
      <c r="AC10">
        <v>1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</v>
      </c>
      <c r="AK10">
        <v>0</v>
      </c>
      <c r="AL10">
        <v>0</v>
      </c>
      <c r="AM10">
        <v>101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</row>
    <row r="11">
      <c r="A11">
        <v>4</v>
      </c>
      <c r="B11" t="str">
        <v>20000000009</v>
      </c>
      <c r="C11" t="str">
        <v>FIKA PRUEBA SAC</v>
      </c>
      <c r="D11" t="str">
        <v>202610</v>
      </c>
      <c r="E11">
        <f>"20000000009"&amp;TEXT(H11,"00")&amp;TEXT(I11,"0000")&amp;TEXT(J11,"0000000000")</f>
      </c>
      <c r="F11" t="str">
        <v>2026-10-03</v>
      </c>
      <c r="G11" t="str">
        <v/>
      </c>
      <c r="H11" t="str">
        <v>07</v>
      </c>
      <c r="I11" t="str">
        <v>FC01</v>
      </c>
      <c r="J11">
        <v>1</v>
      </c>
      <c r="K11" t="str">
        <v/>
      </c>
      <c r="L11" t="str">
        <v>6</v>
      </c>
      <c r="M11" t="str">
        <v>20100047218</v>
      </c>
      <c r="N11" t="str">
        <v>CLIENTE PRUEBA SAC</v>
      </c>
      <c r="O11">
        <v>0</v>
      </c>
      <c r="P11">
        <v>200</v>
      </c>
      <c r="Q11">
        <v>0</v>
      </c>
      <c r="R11">
        <v>36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236</v>
      </c>
      <c r="AB11" t="str">
        <v>PEN</v>
      </c>
      <c r="AC11">
        <v>1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1</v>
      </c>
      <c r="AK11">
        <v>0</v>
      </c>
      <c r="AL11">
        <v>0</v>
      </c>
      <c r="AM11">
        <v>101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</row>
    <row r="12">
      <c r="A12">
        <v>5</v>
      </c>
      <c r="B12" t="str">
        <v>20000000009</v>
      </c>
      <c r="C12" t="str">
        <v>FIKA PRUEBA SAC</v>
      </c>
      <c r="D12" t="str">
        <v>202610</v>
      </c>
      <c r="E12">
        <f>"20000000009"&amp;TEXT(H12,"00")&amp;TEXT(I12,"0000")&amp;TEXT(J12,"0000000000")</f>
      </c>
      <c r="F12" t="str">
        <v>2026-10-04</v>
      </c>
      <c r="G12" t="str">
        <v/>
      </c>
      <c r="H12" t="str">
        <v>08</v>
      </c>
      <c r="I12" t="str">
        <v>FD01</v>
      </c>
      <c r="J12">
        <v>1</v>
      </c>
      <c r="K12" t="str">
        <v/>
      </c>
      <c r="L12" t="str">
        <v>6</v>
      </c>
      <c r="M12" t="str">
        <v>20100047218</v>
      </c>
      <c r="N12" t="str">
        <v>CLIENTE PRUEBA SAC</v>
      </c>
      <c r="O12">
        <v>0</v>
      </c>
      <c r="P12">
        <v>50</v>
      </c>
      <c r="Q12">
        <v>0</v>
      </c>
      <c r="R12">
        <v>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59</v>
      </c>
      <c r="AB12" t="str">
        <v>PEN</v>
      </c>
      <c r="AC12">
        <v>1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1</v>
      </c>
      <c r="AK12">
        <v>0</v>
      </c>
      <c r="AL12">
        <v>0</v>
      </c>
      <c r="AM12">
        <v>101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</row>
    <row r="13">
      <c r="A13">
        <v>6</v>
      </c>
      <c r="B13" t="str">
        <v>20000000009</v>
      </c>
      <c r="C13" t="str">
        <v>FIKA PRUEBA SAC</v>
      </c>
      <c r="D13" t="str">
        <v>202610</v>
      </c>
      <c r="E13">
        <f>"20000000009"&amp;TEXT(H13,"00")&amp;TEXT(I13,"0000")&amp;TEXT(J13,"0000000000")</f>
      </c>
      <c r="F13" t="str">
        <v>2026-10-05</v>
      </c>
      <c r="G13" t="str">
        <v/>
      </c>
      <c r="H13" t="str">
        <v>01</v>
      </c>
      <c r="I13" t="str">
        <v>F001</v>
      </c>
      <c r="J13">
        <v>2</v>
      </c>
      <c r="K13" t="str">
        <v/>
      </c>
      <c r="L13" t="str">
        <v>6</v>
      </c>
      <c r="M13" t="str">
        <v>20100047218</v>
      </c>
      <c r="N13" t="str">
        <v>CLIENTE PRUEBA SAC</v>
      </c>
      <c r="O13">
        <v>0</v>
      </c>
      <c r="P13">
        <v>500</v>
      </c>
      <c r="Q13">
        <v>0</v>
      </c>
      <c r="R13">
        <v>90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590</v>
      </c>
      <c r="AB13" t="str">
        <v>PEN</v>
      </c>
      <c r="AC13">
        <v>1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1</v>
      </c>
      <c r="AK13">
        <v>0</v>
      </c>
      <c r="AL13">
        <v>0</v>
      </c>
      <c r="AM13">
        <v>101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</row>
    <row r="14">
      <c r="A14">
        <v>7</v>
      </c>
      <c r="B14" t="str">
        <v>20000000009</v>
      </c>
      <c r="C14" t="str">
        <v>FIKA PRUEBA SAC</v>
      </c>
      <c r="D14" t="str">
        <v>202610</v>
      </c>
      <c r="E14">
        <f>"20000000009"&amp;TEXT(H14,"00")&amp;TEXT(I14,"0000")&amp;TEXT(J14,"0000000000")</f>
      </c>
      <c r="F14" t="str">
        <v>2026-10-06</v>
      </c>
      <c r="G14" t="str">
        <v/>
      </c>
      <c r="H14" t="str">
        <v>01</v>
      </c>
      <c r="I14" t="str">
        <v>F001</v>
      </c>
      <c r="J14">
        <v>3</v>
      </c>
      <c r="K14" t="str">
        <v/>
      </c>
      <c r="L14" t="str">
        <v>6</v>
      </c>
      <c r="M14" t="str">
        <v>20100047218</v>
      </c>
      <c r="N14" t="str">
        <v>CLIENTE PRUEBA SAC</v>
      </c>
      <c r="O14">
        <v>0</v>
      </c>
      <c r="P14">
        <v>300</v>
      </c>
      <c r="Q14">
        <v>0</v>
      </c>
      <c r="R14">
        <v>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354</v>
      </c>
      <c r="AB14" t="str">
        <v>PEN</v>
      </c>
      <c r="AC14">
        <v>1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1</v>
      </c>
      <c r="AK14">
        <v>0</v>
      </c>
      <c r="AL14">
        <v>0</v>
      </c>
      <c r="AM14">
        <v>101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</row>
    <row r="15">
      <c r="A15">
        <v>8</v>
      </c>
      <c r="B15" t="str">
        <v>20000000009</v>
      </c>
      <c r="C15" t="str">
        <v>FIKA PRUEBA SAC</v>
      </c>
      <c r="D15" t="str">
        <v>202610</v>
      </c>
      <c r="E15">
        <f>"20000000009"&amp;TEXT(H15,"00")&amp;TEXT(I15,"0000")&amp;TEXT(J15,"0000000000")</f>
      </c>
      <c r="F15" t="str">
        <v>2026-10-07</v>
      </c>
      <c r="G15" t="str">
        <v/>
      </c>
      <c r="H15" t="str">
        <v>01</v>
      </c>
      <c r="I15" t="str">
        <v>F001</v>
      </c>
      <c r="J15">
        <v>4</v>
      </c>
      <c r="K15" t="str">
        <v/>
      </c>
      <c r="L15" t="str">
        <v>6</v>
      </c>
      <c r="M15" t="str">
        <v>20100047218</v>
      </c>
      <c r="N15" t="str">
        <v>CLIENTE PRUEBA SAC</v>
      </c>
      <c r="O15">
        <v>0</v>
      </c>
      <c r="P15">
        <v>84.75</v>
      </c>
      <c r="Q15">
        <v>0</v>
      </c>
      <c r="R15">
        <v>15.25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100</v>
      </c>
      <c r="AB15" t="str">
        <v>USD</v>
      </c>
      <c r="AC15">
        <v>1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1</v>
      </c>
      <c r="AK15">
        <v>0</v>
      </c>
      <c r="AL15">
        <v>0</v>
      </c>
      <c r="AM15">
        <v>101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</row>
    <row r="16">
      <c r="A16">
        <v>9</v>
      </c>
      <c r="B16" t="str">
        <v>20000000009</v>
      </c>
      <c r="C16" t="str">
        <v>FIKA PRUEBA SAC</v>
      </c>
      <c r="D16" t="str">
        <v>202610</v>
      </c>
      <c r="E16">
        <f>"20000000009"&amp;TEXT(H16,"00")&amp;TEXT(I16,"0000")&amp;TEXT(J16,"0000000000")</f>
      </c>
      <c r="F16" t="str">
        <v>2026-10-08</v>
      </c>
      <c r="G16" t="str">
        <v/>
      </c>
      <c r="H16" t="str">
        <v>01</v>
      </c>
      <c r="I16" t="str">
        <v>F001</v>
      </c>
      <c r="J16">
        <v>6</v>
      </c>
      <c r="K16" t="str">
        <v/>
      </c>
      <c r="L16" t="str">
        <v>6</v>
      </c>
      <c r="M16" t="str">
        <v>20100047218</v>
      </c>
      <c r="N16" t="str">
        <v>CLIENTE PRUEBA SAC</v>
      </c>
      <c r="O16">
        <v>0</v>
      </c>
      <c r="P16">
        <v>862.71</v>
      </c>
      <c r="Q16">
        <v>0</v>
      </c>
      <c r="R16">
        <v>155.29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1018</v>
      </c>
      <c r="AB16" t="str">
        <v>PEN</v>
      </c>
      <c r="AC16">
        <v>1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1</v>
      </c>
      <c r="AK16">
        <v>0</v>
      </c>
      <c r="AL16">
        <v>0</v>
      </c>
      <c r="AM16">
        <v>101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</row>
    <row r="17">
      <c r="A17">
        <v>10</v>
      </c>
      <c r="B17" t="str">
        <v>20000000009</v>
      </c>
      <c r="C17" t="str">
        <v>FIKA PRUEBA SAC</v>
      </c>
      <c r="D17" t="str">
        <v>202610</v>
      </c>
      <c r="E17">
        <f>"20000000009"&amp;TEXT(H17,"00")&amp;TEXT(I17,"0000")&amp;TEXT(J17,"0000000000")</f>
      </c>
      <c r="F17" t="str">
        <v>2026-10-16</v>
      </c>
      <c r="G17" t="str">
        <v/>
      </c>
      <c r="H17" t="str">
        <v>01</v>
      </c>
      <c r="I17" t="str">
        <v>F030</v>
      </c>
      <c r="J17">
        <v>120</v>
      </c>
      <c r="K17" t="str">
        <v/>
      </c>
      <c r="L17" t="str">
        <v>6</v>
      </c>
      <c r="M17" t="str">
        <v>20516083647</v>
      </c>
      <c r="N17" t="str">
        <v>PONEDORAS S.A.C.</v>
      </c>
      <c r="O17">
        <v>0</v>
      </c>
      <c r="P17">
        <v>457.63</v>
      </c>
      <c r="Q17">
        <v>0</v>
      </c>
      <c r="R17">
        <v>82.37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540</v>
      </c>
      <c r="AB17" t="str">
        <v>PEN</v>
      </c>
      <c r="AC17">
        <v>1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1</v>
      </c>
      <c r="AK17">
        <v>0</v>
      </c>
      <c r="AL17">
        <v>0</v>
      </c>
      <c r="AM17">
        <v>101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</row>
    <row r="18">
      <c r="A18">
        <v>11</v>
      </c>
      <c r="B18" t="str">
        <v>20000000009</v>
      </c>
      <c r="C18" t="str">
        <v>FIKA PRUEBA SAC</v>
      </c>
      <c r="D18" t="str">
        <v>202610</v>
      </c>
      <c r="E18">
        <f>"20000000009"&amp;TEXT(H18,"00")&amp;TEXT(I18,"0000")&amp;TEXT(J18,"0000000000")</f>
      </c>
      <c r="F18" t="str">
        <v>2026-10-16</v>
      </c>
      <c r="G18" t="str">
        <v/>
      </c>
      <c r="H18" t="str">
        <v>01</v>
      </c>
      <c r="I18" t="str">
        <v>F030</v>
      </c>
      <c r="J18">
        <v>119</v>
      </c>
      <c r="K18" t="str">
        <v/>
      </c>
      <c r="L18" t="str">
        <v>6</v>
      </c>
      <c r="M18" t="str">
        <v>20516083647</v>
      </c>
      <c r="N18" t="str">
        <v>PONEDORAS S.A.C.</v>
      </c>
      <c r="O18">
        <v>0</v>
      </c>
      <c r="P18">
        <v>457.63</v>
      </c>
      <c r="Q18">
        <v>0</v>
      </c>
      <c r="R18">
        <v>82.37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540</v>
      </c>
      <c r="AB18" t="str">
        <v>PEN</v>
      </c>
      <c r="AC18">
        <v>1</v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>
        <v>1</v>
      </c>
      <c r="AK18">
        <v>0</v>
      </c>
      <c r="AL18">
        <v>0</v>
      </c>
      <c r="AM18">
        <v>101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</row>
    <row r="19">
      <c r="A19">
        <v>12</v>
      </c>
      <c r="B19" t="str">
        <v>20000000009</v>
      </c>
      <c r="C19" t="str">
        <v>FIKA PRUEBA SAC</v>
      </c>
      <c r="D19" t="str">
        <v>202610</v>
      </c>
      <c r="E19">
        <f>"20000000009"&amp;TEXT(H19,"00")&amp;TEXT(I19,"0000")&amp;TEXT(J19,"0000000000")</f>
      </c>
      <c r="F19" t="str">
        <v>2026-10-17</v>
      </c>
      <c r="G19" t="str">
        <v/>
      </c>
      <c r="H19" t="str">
        <v>03</v>
      </c>
      <c r="I19" t="str">
        <v>B030</v>
      </c>
      <c r="J19">
        <v>16</v>
      </c>
      <c r="K19" t="str">
        <v/>
      </c>
      <c r="L19" t="str">
        <v>6</v>
      </c>
      <c r="M19" t="str">
        <v>20100047218</v>
      </c>
      <c r="N19" t="str">
        <v>CLIENTE PRUEBA SAC</v>
      </c>
      <c r="O19">
        <v>0</v>
      </c>
      <c r="P19">
        <v>11.86</v>
      </c>
      <c r="Q19">
        <v>0</v>
      </c>
      <c r="R19">
        <v>2.14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14</v>
      </c>
      <c r="AB19" t="str">
        <v>PEN</v>
      </c>
      <c r="AC19">
        <v>1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>
        <v>1</v>
      </c>
      <c r="AK19">
        <v>0</v>
      </c>
      <c r="AL19">
        <v>0</v>
      </c>
      <c r="AM19">
        <v>101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</row>
    <row r="20">
      <c r="A20">
        <v>13</v>
      </c>
      <c r="B20" t="str">
        <v>20000000009</v>
      </c>
      <c r="C20" t="str">
        <v>FIKA PRUEBA SAC</v>
      </c>
      <c r="D20" t="str">
        <v>202610</v>
      </c>
      <c r="E20">
        <f>"20000000009"&amp;TEXT(H20,"00")&amp;TEXT(I20,"0000")&amp;TEXT(J20,"0000000000")</f>
      </c>
      <c r="F20" t="str">
        <v>2026-10-18</v>
      </c>
      <c r="G20" t="str">
        <v/>
      </c>
      <c r="H20" t="str">
        <v>07</v>
      </c>
      <c r="I20" t="str">
        <v>BC40</v>
      </c>
      <c r="J20">
        <v>1</v>
      </c>
      <c r="K20" t="str">
        <v/>
      </c>
      <c r="L20" t="str">
        <v>6</v>
      </c>
      <c r="M20" t="str">
        <v>20100047218</v>
      </c>
      <c r="N20" t="str">
        <v>CLIENTE PRUEBA SAC</v>
      </c>
      <c r="O20">
        <v>0</v>
      </c>
      <c r="P20">
        <v>50</v>
      </c>
      <c r="Q20">
        <v>0</v>
      </c>
      <c r="R20">
        <v>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59</v>
      </c>
      <c r="AB20" t="str">
        <v>PEN</v>
      </c>
      <c r="AC20">
        <v>1</v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>
        <v>1</v>
      </c>
      <c r="AK20">
        <v>0</v>
      </c>
      <c r="AL20">
        <v>0</v>
      </c>
      <c r="AM20">
        <v>101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</row>
    <row r="21">
      <c r="A21">
        <v>14</v>
      </c>
      <c r="B21" t="str">
        <v>20000000009</v>
      </c>
      <c r="C21" t="str">
        <v>FIKA PRUEBA SAC</v>
      </c>
      <c r="D21" t="str">
        <v>202610</v>
      </c>
      <c r="E21">
        <f>"20000000009"&amp;TEXT(H21,"00")&amp;TEXT(I21,"0000")&amp;TEXT(J21,"0000000000")</f>
      </c>
      <c r="F21" t="str">
        <v>2026-10-19</v>
      </c>
      <c r="G21" t="str">
        <v/>
      </c>
      <c r="H21" t="str">
        <v>07</v>
      </c>
      <c r="I21" t="str">
        <v>FC50</v>
      </c>
      <c r="J21">
        <v>1</v>
      </c>
      <c r="K21" t="str">
        <v/>
      </c>
      <c r="L21" t="str">
        <v>6</v>
      </c>
      <c r="M21" t="str">
        <v>20100047218</v>
      </c>
      <c r="N21" t="str">
        <v>CLIENTE PRUEBA SAC</v>
      </c>
      <c r="O21">
        <v>0</v>
      </c>
      <c r="P21">
        <v>10</v>
      </c>
      <c r="Q21">
        <v>0</v>
      </c>
      <c r="R21">
        <v>1.8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11.8</v>
      </c>
      <c r="AB21" t="str">
        <v>PEN</v>
      </c>
      <c r="AC21">
        <v>1</v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>
        <v>1</v>
      </c>
      <c r="AK21">
        <v>0</v>
      </c>
      <c r="AL21">
        <v>0</v>
      </c>
      <c r="AM21">
        <v>101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</row>
  </sheetData>
  <autoFilter ref="A6:BE23"/>
  <ignoredErrors>
    <ignoredError numberStoredAsText="1" sqref="A1:B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2026-10-21T18:08:27Z</dcterms:created>
  <dc:creator>FIKA PRUEBA SAC</dc:creator>
  <dc:subject>PLE SUNAT 14.1</dc:subject>
  <dc:title>Registro de Ventas PLE</dc:title>
</cp:coreProperties>
</file>